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rcincgov1-my.sharepoint.us/personal/lauko_srcinc_com/Documents/Desktop/Personal/geneology/GED Keepers/Future Features/"/>
    </mc:Choice>
  </mc:AlternateContent>
  <xr:revisionPtr revIDLastSave="534" documentId="8_{D1FEEEA7-0E84-49B9-AD17-37D0BB95FB37}" xr6:coauthVersionLast="47" xr6:coauthVersionMax="47" xr10:uidLastSave="{90957F79-ADA8-4ACC-9952-E83B048C1BDD}"/>
  <bookViews>
    <workbookView xWindow="-120" yWindow="-120" windowWidth="29040" windowHeight="15720" xr2:uid="{8067922A-00B7-4646-9500-13902203F407}"/>
  </bookViews>
  <sheets>
    <sheet name="Sheet1" sheetId="1" r:id="rId1"/>
  </sheets>
  <definedNames>
    <definedName name="_xlnm._FilterDatabase" localSheetId="0" hidden="1">Sheet1!$B$3:$I$46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 i="1" l="1"/>
  <c r="H17" i="1"/>
  <c r="B17" i="1"/>
  <c r="B18" i="1" s="1"/>
  <c r="B19" i="1" s="1"/>
  <c r="H15" i="1"/>
  <c r="H16" i="1"/>
  <c r="H19" i="1"/>
  <c r="H8" i="1" l="1"/>
  <c r="H23" i="1" l="1"/>
  <c r="H24" i="1"/>
  <c r="H25" i="1"/>
  <c r="H21" i="1"/>
  <c r="H37" i="1"/>
  <c r="B5" i="1" l="1"/>
  <c r="H5" i="1"/>
  <c r="H9" i="1"/>
  <c r="H11" i="1"/>
  <c r="H10" i="1"/>
  <c r="H32" i="1"/>
  <c r="H22" i="1"/>
  <c r="H36" i="1"/>
  <c r="H12" i="1"/>
  <c r="H30" i="1"/>
  <c r="H4" i="1"/>
  <c r="H39" i="1" l="1"/>
  <c r="H34" i="1"/>
  <c r="H43" i="1"/>
  <c r="H29" i="1"/>
  <c r="H42" i="1"/>
  <c r="H27" i="1"/>
  <c r="H33" i="1"/>
  <c r="H7" i="1"/>
  <c r="H13" i="1"/>
  <c r="H14" i="1"/>
  <c r="H35" i="1"/>
  <c r="H6" i="1"/>
  <c r="H26" i="1"/>
  <c r="H28" i="1"/>
  <c r="H46" i="1"/>
  <c r="H45" i="1"/>
  <c r="H20" i="1"/>
  <c r="H41" i="1"/>
  <c r="H31" i="1"/>
  <c r="H40" i="1"/>
  <c r="H38" i="1"/>
  <c r="H44" i="1"/>
  <c r="B6" i="1" l="1"/>
  <c r="B7" i="1" s="1"/>
  <c r="B8" i="1" s="1"/>
  <c r="B9" i="1" l="1"/>
  <c r="B10" i="1"/>
  <c r="B11" i="1"/>
  <c r="B12" i="1" s="1"/>
  <c r="B13" i="1" s="1"/>
  <c r="B14" i="1" s="1"/>
  <c r="B15" i="1" l="1"/>
  <c r="B16" i="1" s="1"/>
  <c r="B20" i="1" s="1"/>
  <c r="B21" i="1" s="1"/>
  <c r="B22" i="1" s="1"/>
  <c r="B23" i="1" s="1"/>
  <c r="B24" i="1" s="1"/>
  <c r="B25" i="1" s="1"/>
  <c r="B26" i="1" s="1"/>
  <c r="B27" i="1" s="1"/>
  <c r="B28" i="1" s="1"/>
  <c r="B29" i="1" s="1"/>
  <c r="B30" i="1" s="1"/>
  <c r="B31" i="1" l="1"/>
  <c r="B32" i="1"/>
  <c r="B33" i="1" s="1"/>
  <c r="B34" i="1" s="1"/>
  <c r="B35" i="1" s="1"/>
  <c r="B36" i="1" s="1"/>
  <c r="B37" i="1" s="1"/>
  <c r="B38" i="1" s="1"/>
  <c r="B39" i="1" s="1"/>
  <c r="B40" i="1" s="1"/>
  <c r="B41" i="1" s="1"/>
  <c r="B42" i="1" s="1"/>
  <c r="B43" i="1" s="1"/>
  <c r="B44" i="1" s="1"/>
  <c r="B45" i="1" s="1"/>
  <c r="B46" i="1" s="1"/>
</calcChain>
</file>

<file path=xl/sharedStrings.xml><?xml version="1.0" encoding="utf-8"?>
<sst xmlns="http://schemas.openxmlformats.org/spreadsheetml/2006/main" count="98" uniqueCount="98">
  <si>
    <t>Feature</t>
  </si>
  <si>
    <t>Description</t>
  </si>
  <si>
    <t>Priority</t>
  </si>
  <si>
    <t>Historically relevant maps</t>
  </si>
  <si>
    <t>If someone was born in Albany in 1700, show a map of what the areas looked like in 1700</t>
  </si>
  <si>
    <t>Better bootup status</t>
  </si>
  <si>
    <t>Make the Information center available sooner so updates can be sent there to keep the user appraised of boot-up status</t>
  </si>
  <si>
    <t>Create more classes/.js files to clean up code</t>
  </si>
  <si>
    <t>Maps</t>
  </si>
  <si>
    <t>Add more “help” features</t>
  </si>
  <si>
    <t>Help for a brand new user to navigate.  What does a left click do, a right click, etc…</t>
  </si>
  <si>
    <t>Create a better start-from-scratch “batch file”</t>
  </si>
  <si>
    <t>Need to plan out a new user from loading a .ged file to operating</t>
  </si>
  <si>
    <t>Integrate AI</t>
  </si>
  <si>
    <t>Integrate DB with better expansion potential</t>
  </si>
  <si>
    <t>Bug =3   Need=2 Feature=1</t>
  </si>
  <si>
    <t>Easy=3 Med=2 Hard=1</t>
  </si>
  <si>
    <t xml:space="preserve"> High=3 Med=2 Low=1</t>
  </si>
  <si>
    <t>Total</t>
  </si>
  <si>
    <t>Difficulty in implementing</t>
  </si>
  <si>
    <t>be able to update the tree and save a new GED file</t>
  </si>
  <si>
    <t>The new GED file should still have the fidelity and features/connections that the ancestry.com file had</t>
  </si>
  <si>
    <t>Load a new GED file from a different app (ancestry.com)</t>
  </si>
  <si>
    <t>work out how to update a current user with a new GED file, how is it loaded?  Can a user point to the file and have it load…  Is there a way to keep all attachments syncronized</t>
  </si>
  <si>
    <t>document how the code works, pieces/parts, how to build, how to run, etc…</t>
  </si>
  <si>
    <t>SW Documentation</t>
  </si>
  <si>
    <t>A place to record facts about why a specific person is thought to be an ancestor.  For example, DNA results, census records, personal conversations, etc…  Maybe even a confidence factor around the facts</t>
  </si>
  <si>
    <t>Pedigree Documentation</t>
  </si>
  <si>
    <t>Based on the Pedigree Documentation, a method for indicating what part of the tree contains Pedigree Facts and what the confidence is in the data.  When you look at the tree you should be able to tell what parts are supported by pedigree data and what parts are lower confidence</t>
  </si>
  <si>
    <t>Pedigree Indication (dependent on Pedigree Documentation)</t>
  </si>
  <si>
    <t xml:space="preserve">Clean up migration paths </t>
  </si>
  <si>
    <t>Search on location</t>
  </si>
  <si>
    <t>Currently can search the tree based on person's name, want to also be able to search based on where they lived.  This is possible now that residences are included, in addition to birth and death location</t>
  </si>
  <si>
    <t>Erros/Warnings/Status</t>
  </si>
  <si>
    <t xml:space="preserve">Display errors/warnings somewhere prominently on the screen so a user knows what is going on … Specifically ...                          1.  when a map doesn't load properly after hovering over a node, there needs to be feedback "Map failed to load, move off node and try again"     2. status of map loading...  </t>
  </si>
  <si>
    <t>For the migration journey on maps, need to gracefully deconflict dates/places when a person revisits a location mulitple times over life.  Don’t write one migration stop over the top of another   - maybe use a clustering algorithm to group common locations before display</t>
  </si>
  <si>
    <t>Personal history timeline</t>
  </si>
  <si>
    <t>highlight immigration journey</t>
  </si>
  <si>
    <t>put a label on the migration path in between countries, label the migration line with date and vessel traveled on…</t>
  </si>
  <si>
    <t>clean up side panel, aesthetically</t>
  </si>
  <si>
    <t xml:space="preserve">Add shrinking and expanding components to the right hadnd </t>
  </si>
  <si>
    <t xml:space="preserve">Login, cluster selection, map, information center, attachments all could be "shrunk" and "expanded at will </t>
  </si>
  <si>
    <t>More efficient mapping of migration routes</t>
  </si>
  <si>
    <t>once lat, lon of birth, death, residences are calculated they could be stored so no calculation or call to openmap is required in the future</t>
  </si>
  <si>
    <t>display flexibility to show portions of a tree, or the whole tree</t>
  </si>
  <si>
    <t>add limits to the depth of the tree (number of generations), allow the root individual to change, etc…</t>
  </si>
  <si>
    <t>Staus</t>
  </si>
  <si>
    <t>Not started = 0 In prog = 1-4 complete = 5</t>
  </si>
  <si>
    <t>resurrect the personal history timeline to go along with the map migration display, add pictures/movies/files to the timeline</t>
  </si>
  <si>
    <t>implement geocaching for calls to open map</t>
  </si>
  <si>
    <t>geocaching on server, file that stores successful geocaching calls</t>
  </si>
  <si>
    <t>Error window created.  Still need to add more error notifications now that the window exists</t>
  </si>
  <si>
    <t>Make the page accessible from the web</t>
  </si>
  <si>
    <t>Allow people to access from web</t>
  </si>
  <si>
    <t>Reconfigure the tree to start on anyone in the GED file and limit the depth of the tree (number of generations)</t>
  </si>
  <si>
    <t>For instance: start with person X and show 3 generations.  All other functionality the same</t>
  </si>
  <si>
    <t>Make the side panels hidden with the capability to select a panel and have it slide out</t>
  </si>
  <si>
    <t>Maybe a small tab for each "function" on the right side of the screen. Tabs for account (login), maps, history, etc…</t>
  </si>
  <si>
    <t>Toggle switch to make attachments visible/not-visible</t>
  </si>
  <si>
    <t>Highlight names of people that are visible in the tree when searching the tree</t>
  </si>
  <si>
    <t>Changed how attachments are displayed so this is OBE</t>
  </si>
  <si>
    <t>For the root person, display the spouse of the root and any children</t>
  </si>
  <si>
    <t>display spouse, brothers/sisters/ etc…</t>
  </si>
  <si>
    <t>good batch file exists once the .ged file is put into the GED directory under backend/user/…</t>
  </si>
  <si>
    <t>When adding an attachment, if it is the first and only attachment, automatically use it as the picture for that person</t>
  </si>
  <si>
    <t>need to have a better URL</t>
  </si>
  <si>
    <t>Detect and optimize for operation on an iPad and/or iPhone</t>
  </si>
  <si>
    <t>integrate personal histories more elegantly</t>
  </si>
  <si>
    <t>how to include additional pictures, pdfs , etc…</t>
  </si>
  <si>
    <t>need to optimize for screenspace on phone</t>
  </si>
  <si>
    <t>clicks are working, not bad for a tablet, need to optimize for screenspace on phone</t>
  </si>
  <si>
    <t>Clean up cluster area since only using Birth Clusters</t>
  </si>
  <si>
    <t>Add Help Button</t>
  </si>
  <si>
    <t>add a button that will launch guided tour</t>
  </si>
  <si>
    <t>add birth/death dates to people in the search lookup list</t>
  </si>
  <si>
    <t>Fix spouse nodes on startup</t>
  </si>
  <si>
    <t>spouse nodes of decendents are misplaced in time at startup, they reset and are correct after the tree is reconfigured with root individual or generations inputs</t>
  </si>
  <si>
    <t>The search function/Root individual needs some work.  The Root Ind function seems struggles when the person selected is not on the screen</t>
  </si>
  <si>
    <t>Location search should be on the whole family tree, not just the part that is visible.</t>
  </si>
  <si>
    <t>consolidate family.json and personalhistoryevents.json</t>
  </si>
  <si>
    <t>move all events into family.json.  Right now family.json just has residences, it should include all events…</t>
  </si>
  <si>
    <t>make a list of events on a calendar</t>
  </si>
  <si>
    <t>output a list of events sorted by month/day…  for instance all the birthdays for a given family.</t>
  </si>
  <si>
    <t xml:space="preserve">Add a home button </t>
  </si>
  <si>
    <t>add a button that will bring the tree back to its starting spot</t>
  </si>
  <si>
    <t>Trace back to "home" individual</t>
  </si>
  <si>
    <t>Add a trace function that shows the relationship between a selected individual and the "home" individual</t>
  </si>
  <si>
    <t>Change attachment storage</t>
  </si>
  <si>
    <t>create thumbnails at frontend instead of backend.  Simplify the backend to just accept files (pdf, jpg,mpg, etc…) and store them in the correct space.  Create a app.post for thumbnails and one for files, or maybe just one app.post that has both in the message.</t>
  </si>
  <si>
    <t>done for images and pdfs, need to do it for movies</t>
  </si>
  <si>
    <t>enhance attachments</t>
  </si>
  <si>
    <t>Add a date stamp to each attachment that may help sort how the attachments are presented, earliest first…  or add arrows to allow attachments to be moved up or down the display list…  Maybe a checkbox to make the image visible  or not in the attachment panel?</t>
  </si>
  <si>
    <t>give other the ability to edit existing tree nodes</t>
  </si>
  <si>
    <t>others the ability to add additional nodes</t>
  </si>
  <si>
    <t>will require coordination with other ancestry applications</t>
  </si>
  <si>
    <t>will require flexible external storage</t>
  </si>
  <si>
    <t>add parents and children</t>
  </si>
  <si>
    <t>1.  change birth and death dates, add bio information,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</si>
</sst>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sz val="12"/>
      <color theme="1"/>
      <name val="Aptos"/>
      <family val="2"/>
    </font>
    <font>
      <sz val="12"/>
      <color theme="1"/>
      <name val="Aptos Narrow"/>
      <family val="2"/>
      <scheme val="minor"/>
    </font>
    <font>
      <strike/>
      <sz val="12"/>
      <color theme="1"/>
      <name val="Aptos Narrow"/>
      <family val="2"/>
      <scheme val="minor"/>
    </font>
    <font>
      <strike/>
      <sz val="12"/>
      <color theme="0" tint="-0.14999847407452621"/>
      <name val="Aptos"/>
      <family val="2"/>
    </font>
    <font>
      <strike/>
      <sz val="12"/>
      <color theme="0" tint="-0.14999847407452621"/>
      <name val="Aptos Narrow"/>
      <family val="2"/>
      <scheme val="minor"/>
    </font>
    <font>
      <sz val="12"/>
      <name val="Aptos"/>
      <family val="2"/>
    </font>
    <font>
      <strike/>
      <sz val="12"/>
      <color theme="0" tint="-0.14996795556505021"/>
      <name val="Aptos"/>
      <family val="2"/>
    </font>
    <font>
      <strike/>
      <sz val="12"/>
      <color theme="0" tint="-0.14996795556505021"/>
      <name val="Aptos Narrow"/>
      <family val="2"/>
      <scheme val="minor"/>
    </font>
    <font>
      <strike/>
      <sz val="12"/>
      <color theme="0" tint="-0.249977111117893"/>
      <name val="Aptos"/>
      <family val="2"/>
    </font>
    <font>
      <strike/>
      <sz val="12"/>
      <color theme="0" tint="-0.249977111117893"/>
      <name val="Aptos Narrow"/>
      <family val="2"/>
      <scheme val="minor"/>
    </font>
    <font>
      <sz val="12"/>
      <name val="Aptos Narrow"/>
      <family val="2"/>
      <scheme val="minor"/>
    </font>
    <font>
      <sz val="11"/>
      <name val="Aptos Narrow"/>
      <family val="2"/>
      <scheme val="minor"/>
    </font>
  </fonts>
  <fills count="2">
    <fill>
      <patternFill patternType="none"/>
    </fill>
    <fill>
      <patternFill patternType="gray125"/>
    </fill>
  </fills>
  <borders count="10">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62">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1" fillId="0" borderId="5" xfId="0" applyFont="1" applyBorder="1" applyAlignment="1">
      <alignmen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2" fillId="0" borderId="0" xfId="0" applyFont="1" applyAlignment="1">
      <alignment vertical="top" wrapText="1"/>
    </xf>
    <xf numFmtId="0" fontId="0" fillId="0" borderId="0" xfId="0" applyAlignment="1">
      <alignment vertical="top" wrapText="1"/>
    </xf>
    <xf numFmtId="0" fontId="2" fillId="0" borderId="5"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horizontal="center" vertical="center"/>
    </xf>
    <xf numFmtId="0" fontId="2" fillId="0" borderId="5" xfId="0" applyFont="1" applyBorder="1" applyAlignment="1">
      <alignment vertical="center" wrapText="1"/>
    </xf>
    <xf numFmtId="0" fontId="2" fillId="0" borderId="6" xfId="0" applyFont="1" applyBorder="1" applyAlignment="1">
      <alignment vertical="center" wrapText="1"/>
    </xf>
    <xf numFmtId="0" fontId="2" fillId="0" borderId="4" xfId="0" applyFont="1" applyBorder="1" applyAlignment="1">
      <alignment horizontal="center" vertical="center"/>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1" xfId="0" applyFont="1" applyBorder="1" applyAlignment="1">
      <alignment wrapText="1"/>
    </xf>
    <xf numFmtId="0" fontId="0" fillId="0" borderId="0" xfId="0" applyAlignment="1">
      <alignment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left"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left" vertical="center" wrapText="1"/>
    </xf>
    <xf numFmtId="0" fontId="2" fillId="0" borderId="6" xfId="0" applyFont="1" applyBorder="1" applyAlignment="1">
      <alignment horizontal="center" vertical="center"/>
    </xf>
    <xf numFmtId="0" fontId="3" fillId="0" borderId="5" xfId="0" applyFont="1" applyBorder="1" applyAlignment="1">
      <alignment horizontal="center" vertical="center"/>
    </xf>
    <xf numFmtId="0" fontId="4" fillId="0" borderId="5" xfId="0" applyFont="1" applyBorder="1" applyAlignment="1">
      <alignment vertical="center" wrapText="1"/>
    </xf>
    <xf numFmtId="0" fontId="5" fillId="0" borderId="5" xfId="0" applyFont="1" applyBorder="1" applyAlignment="1">
      <alignment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5" xfId="0" applyFont="1" applyBorder="1" applyAlignment="1">
      <alignment horizontal="center" vertical="center"/>
    </xf>
    <xf numFmtId="0" fontId="6" fillId="0" borderId="5" xfId="0" applyFont="1" applyBorder="1" applyAlignment="1">
      <alignment vertical="center" wrapText="1"/>
    </xf>
    <xf numFmtId="0" fontId="7" fillId="0" borderId="4" xfId="0" applyFont="1" applyBorder="1" applyAlignment="1">
      <alignment vertical="center" wrapText="1"/>
    </xf>
    <xf numFmtId="0" fontId="8" fillId="0" borderId="4" xfId="0" applyFont="1" applyBorder="1" applyAlignment="1">
      <alignment vertical="center" wrapText="1"/>
    </xf>
    <xf numFmtId="0" fontId="8" fillId="0" borderId="4" xfId="0" applyFont="1" applyBorder="1" applyAlignment="1">
      <alignment horizontal="center" vertical="center" wrapText="1"/>
    </xf>
    <xf numFmtId="0" fontId="8" fillId="0" borderId="7" xfId="0" applyFont="1" applyBorder="1" applyAlignment="1">
      <alignment horizontal="center" vertical="center" wrapText="1"/>
    </xf>
    <xf numFmtId="0" fontId="8" fillId="0" borderId="4" xfId="0" applyFont="1" applyBorder="1" applyAlignment="1">
      <alignment horizontal="center" vertical="center"/>
    </xf>
    <xf numFmtId="0" fontId="0" fillId="0" borderId="0" xfId="0" applyAlignment="1">
      <alignment horizontal="center" vertical="center" wrapText="1"/>
    </xf>
    <xf numFmtId="0" fontId="6" fillId="0" borderId="5" xfId="0" applyFont="1" applyBorder="1" applyAlignment="1">
      <alignment horizontal="center" vertical="center" wrapText="1"/>
    </xf>
    <xf numFmtId="0" fontId="6" fillId="0" borderId="8" xfId="0" applyFont="1" applyBorder="1" applyAlignment="1">
      <alignment horizontal="center" vertical="center" wrapText="1"/>
    </xf>
    <xf numFmtId="0" fontId="9" fillId="0" borderId="5" xfId="0" applyFont="1" applyBorder="1" applyAlignment="1">
      <alignment horizontal="left" vertical="center" wrapText="1"/>
    </xf>
    <xf numFmtId="0" fontId="10" fillId="0" borderId="5" xfId="0" applyFont="1" applyBorder="1" applyAlignment="1">
      <alignment horizontal="left" vertical="center" wrapText="1"/>
    </xf>
    <xf numFmtId="0" fontId="10" fillId="0" borderId="5" xfId="0" applyFont="1" applyBorder="1" applyAlignment="1">
      <alignment horizontal="center" vertical="center" wrapText="1"/>
    </xf>
    <xf numFmtId="0" fontId="10" fillId="0" borderId="8" xfId="0" applyFont="1" applyBorder="1" applyAlignment="1">
      <alignment horizontal="center" vertical="center" wrapText="1"/>
    </xf>
    <xf numFmtId="0" fontId="10" fillId="0" borderId="5" xfId="0" applyFont="1" applyBorder="1" applyAlignment="1">
      <alignment horizontal="center" vertical="center"/>
    </xf>
    <xf numFmtId="0" fontId="9" fillId="0" borderId="5" xfId="0" applyFont="1" applyBorder="1" applyAlignment="1">
      <alignment vertical="center" wrapText="1"/>
    </xf>
    <xf numFmtId="0" fontId="10" fillId="0" borderId="5" xfId="0" applyFont="1" applyBorder="1" applyAlignment="1">
      <alignment vertical="center" wrapText="1"/>
    </xf>
    <xf numFmtId="0" fontId="11" fillId="0" borderId="5" xfId="0" applyFont="1" applyBorder="1" applyAlignment="1">
      <alignment vertical="center" wrapText="1"/>
    </xf>
    <xf numFmtId="0" fontId="11" fillId="0" borderId="5" xfId="0" applyFont="1" applyBorder="1" applyAlignment="1">
      <alignment horizontal="center" vertical="center" wrapText="1"/>
    </xf>
    <xf numFmtId="0" fontId="11" fillId="0" borderId="8" xfId="0" applyFont="1" applyBorder="1" applyAlignment="1">
      <alignment horizontal="center" vertical="center" wrapText="1"/>
    </xf>
    <xf numFmtId="0" fontId="4" fillId="0" borderId="5" xfId="0" applyFont="1" applyBorder="1" applyAlignment="1">
      <alignment horizontal="left" vertical="center" wrapText="1"/>
    </xf>
    <xf numFmtId="0" fontId="5" fillId="0" borderId="5" xfId="0" applyFont="1" applyBorder="1" applyAlignment="1">
      <alignment horizontal="left" vertical="center" wrapText="1"/>
    </xf>
    <xf numFmtId="0" fontId="6" fillId="0" borderId="5" xfId="0" applyFont="1" applyBorder="1" applyAlignment="1">
      <alignment horizontal="left" vertical="center" wrapText="1"/>
    </xf>
    <xf numFmtId="0" fontId="12" fillId="0" borderId="0" xfId="0" applyFont="1" applyAlignment="1">
      <alignment horizontal="center" vertical="center" wrapText="1"/>
    </xf>
    <xf numFmtId="0" fontId="11" fillId="0" borderId="5" xfId="0" applyFont="1" applyBorder="1" applyAlignment="1">
      <alignment horizontal="center" vertical="center"/>
    </xf>
    <xf numFmtId="0" fontId="9" fillId="0" borderId="5"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4F79-2AB7-4A24-A4BE-758442E1F8CB}">
  <sheetPr filterMode="1"/>
  <dimension ref="B1:N58"/>
  <sheetViews>
    <sheetView tabSelected="1" workbookViewId="0">
      <pane ySplit="2835" topLeftCell="A15" activePane="bottomLeft"/>
      <selection activeCell="D2" sqref="D2"/>
      <selection pane="bottomLeft" activeCell="C26" sqref="C26"/>
    </sheetView>
  </sheetViews>
  <sheetFormatPr defaultRowHeight="15" x14ac:dyDescent="0.25"/>
  <cols>
    <col min="3" max="3" width="49.28515625" style="8" customWidth="1"/>
    <col min="4" max="4" width="57.85546875" style="3" customWidth="1"/>
    <col min="5" max="5" width="9.140625" style="11"/>
    <col min="6" max="6" width="12.42578125" style="11" customWidth="1"/>
    <col min="7" max="8" width="9.140625" style="11"/>
    <col min="9" max="9" width="14.28515625" style="11" customWidth="1"/>
    <col min="10" max="10" width="65.7109375" style="41" customWidth="1"/>
  </cols>
  <sheetData>
    <row r="1" spans="2:14" x14ac:dyDescent="0.25">
      <c r="E1" s="19"/>
      <c r="F1" s="19"/>
      <c r="G1" s="19"/>
      <c r="H1" s="19"/>
    </row>
    <row r="2" spans="2:14" ht="63.75" thickBot="1" x14ac:dyDescent="0.3">
      <c r="B2" s="10"/>
      <c r="C2" s="20"/>
      <c r="D2" s="20"/>
      <c r="E2" s="20" t="s">
        <v>2</v>
      </c>
      <c r="F2" s="20"/>
      <c r="G2" s="20" t="s">
        <v>19</v>
      </c>
      <c r="H2" s="20"/>
      <c r="I2" s="10" t="s">
        <v>46</v>
      </c>
      <c r="J2" s="20"/>
      <c r="K2" s="1"/>
      <c r="L2" s="1"/>
      <c r="M2" s="1"/>
      <c r="N2" s="1"/>
    </row>
    <row r="3" spans="2:14" s="3" customFormat="1" ht="48" thickBot="1" x14ac:dyDescent="0.3">
      <c r="B3" s="18"/>
      <c r="C3" s="15" t="s">
        <v>0</v>
      </c>
      <c r="D3" s="15" t="s">
        <v>1</v>
      </c>
      <c r="E3" s="16" t="s">
        <v>17</v>
      </c>
      <c r="F3" s="16" t="s">
        <v>15</v>
      </c>
      <c r="G3" s="17" t="s">
        <v>16</v>
      </c>
      <c r="H3" s="16" t="s">
        <v>18</v>
      </c>
      <c r="I3" s="16" t="s">
        <v>47</v>
      </c>
      <c r="J3" s="20"/>
      <c r="K3" s="2"/>
      <c r="L3" s="2"/>
      <c r="M3" s="2"/>
      <c r="N3" s="2"/>
    </row>
    <row r="4" spans="2:14" ht="31.5" hidden="1" x14ac:dyDescent="0.25">
      <c r="B4" s="14">
        <v>1</v>
      </c>
      <c r="C4" s="36" t="s">
        <v>49</v>
      </c>
      <c r="D4" s="37" t="s">
        <v>50</v>
      </c>
      <c r="E4" s="38">
        <v>3</v>
      </c>
      <c r="F4" s="39">
        <v>2</v>
      </c>
      <c r="G4" s="38">
        <v>3</v>
      </c>
      <c r="H4" s="38">
        <f t="shared" ref="H4" si="0">SUM(E4:G4)</f>
        <v>8</v>
      </c>
      <c r="I4" s="40">
        <v>5</v>
      </c>
      <c r="J4" s="20"/>
      <c r="K4" s="1"/>
      <c r="L4" s="1"/>
      <c r="M4" s="1"/>
      <c r="N4" s="1"/>
    </row>
    <row r="5" spans="2:14" ht="31.5" hidden="1" x14ac:dyDescent="0.25">
      <c r="B5" s="48">
        <f t="shared" ref="B5:B7" si="1">B4+1</f>
        <v>2</v>
      </c>
      <c r="C5" s="44" t="s">
        <v>78</v>
      </c>
      <c r="D5" s="44"/>
      <c r="E5" s="46">
        <v>3</v>
      </c>
      <c r="F5" s="47">
        <v>3</v>
      </c>
      <c r="G5" s="46">
        <v>2</v>
      </c>
      <c r="H5" s="46">
        <f t="shared" ref="H5:H7" si="2">SUM(E5:G5)</f>
        <v>8</v>
      </c>
      <c r="I5" s="48">
        <v>5</v>
      </c>
      <c r="J5" s="20"/>
      <c r="K5" s="1"/>
      <c r="L5" s="1"/>
      <c r="M5" s="1"/>
      <c r="N5" s="1"/>
    </row>
    <row r="6" spans="2:14" ht="47.25" hidden="1" x14ac:dyDescent="0.25">
      <c r="B6" s="9">
        <f t="shared" si="1"/>
        <v>3</v>
      </c>
      <c r="C6" s="44" t="s">
        <v>54</v>
      </c>
      <c r="D6" s="45" t="s">
        <v>55</v>
      </c>
      <c r="E6" s="46">
        <v>3</v>
      </c>
      <c r="F6" s="47">
        <v>2</v>
      </c>
      <c r="G6" s="46">
        <v>2</v>
      </c>
      <c r="H6" s="46">
        <f t="shared" si="2"/>
        <v>7</v>
      </c>
      <c r="I6" s="48">
        <v>5</v>
      </c>
      <c r="J6" s="20"/>
      <c r="K6" s="1"/>
      <c r="L6" s="1"/>
      <c r="M6" s="1"/>
      <c r="N6" s="1"/>
    </row>
    <row r="7" spans="2:14" ht="78.75" hidden="1" x14ac:dyDescent="0.25">
      <c r="B7" s="9">
        <f t="shared" si="1"/>
        <v>4</v>
      </c>
      <c r="C7" s="30" t="s">
        <v>29</v>
      </c>
      <c r="D7" s="31" t="s">
        <v>28</v>
      </c>
      <c r="E7" s="32">
        <v>3</v>
      </c>
      <c r="F7" s="32">
        <v>1</v>
      </c>
      <c r="G7" s="32">
        <v>3</v>
      </c>
      <c r="H7" s="32">
        <f t="shared" si="2"/>
        <v>7</v>
      </c>
      <c r="I7" s="34">
        <v>5</v>
      </c>
      <c r="J7" s="20"/>
      <c r="K7" s="1"/>
      <c r="L7" s="1"/>
      <c r="M7" s="1"/>
      <c r="N7" s="1"/>
    </row>
    <row r="8" spans="2:14" ht="78.75" x14ac:dyDescent="0.25">
      <c r="B8" s="9">
        <f t="shared" ref="B8:B31" si="3">B7+1</f>
        <v>5</v>
      </c>
      <c r="C8" s="35" t="s">
        <v>87</v>
      </c>
      <c r="D8" s="35" t="s">
        <v>88</v>
      </c>
      <c r="E8" s="42">
        <v>3</v>
      </c>
      <c r="F8" s="43">
        <v>3</v>
      </c>
      <c r="G8" s="42">
        <v>2</v>
      </c>
      <c r="H8" s="21">
        <f t="shared" ref="H8:H46" si="4">SUM(E8:G8)</f>
        <v>8</v>
      </c>
      <c r="I8" s="9">
        <v>4</v>
      </c>
      <c r="J8" s="41" t="s">
        <v>89</v>
      </c>
      <c r="K8" s="1"/>
      <c r="L8" s="1"/>
      <c r="M8" s="1"/>
      <c r="N8" s="1"/>
    </row>
    <row r="9" spans="2:14" ht="47.25" hidden="1" x14ac:dyDescent="0.25">
      <c r="B9" s="9">
        <f t="shared" si="3"/>
        <v>6</v>
      </c>
      <c r="C9" s="44" t="s">
        <v>75</v>
      </c>
      <c r="D9" s="50" t="s">
        <v>76</v>
      </c>
      <c r="E9" s="46">
        <v>3</v>
      </c>
      <c r="F9" s="47">
        <v>3</v>
      </c>
      <c r="G9" s="46">
        <v>3</v>
      </c>
      <c r="H9" s="46">
        <f t="shared" si="4"/>
        <v>9</v>
      </c>
      <c r="I9" s="48">
        <v>5</v>
      </c>
      <c r="K9" s="1"/>
      <c r="L9" s="1"/>
      <c r="M9" s="1"/>
      <c r="N9" s="1"/>
    </row>
    <row r="10" spans="2:14" ht="15.75" hidden="1" x14ac:dyDescent="0.25">
      <c r="B10" s="48">
        <f t="shared" si="3"/>
        <v>7</v>
      </c>
      <c r="C10" s="44" t="s">
        <v>72</v>
      </c>
      <c r="D10" s="50" t="s">
        <v>73</v>
      </c>
      <c r="E10" s="46">
        <v>3</v>
      </c>
      <c r="F10" s="47">
        <v>2</v>
      </c>
      <c r="G10" s="46">
        <v>3</v>
      </c>
      <c r="H10" s="46">
        <f t="shared" si="4"/>
        <v>8</v>
      </c>
      <c r="I10" s="48">
        <v>5</v>
      </c>
      <c r="K10" s="1"/>
      <c r="L10" s="1"/>
      <c r="M10" s="1"/>
      <c r="N10" s="1"/>
    </row>
    <row r="11" spans="2:14" ht="47.25" hidden="1" x14ac:dyDescent="0.25">
      <c r="B11" s="48">
        <f t="shared" si="3"/>
        <v>8</v>
      </c>
      <c r="C11" s="44" t="s">
        <v>74</v>
      </c>
      <c r="D11" s="50" t="s">
        <v>77</v>
      </c>
      <c r="E11" s="46">
        <v>3</v>
      </c>
      <c r="F11" s="47">
        <v>2</v>
      </c>
      <c r="G11" s="46">
        <v>2</v>
      </c>
      <c r="H11" s="46">
        <f t="shared" si="4"/>
        <v>7</v>
      </c>
      <c r="I11" s="48">
        <v>5</v>
      </c>
      <c r="K11" s="1"/>
      <c r="L11" s="1"/>
      <c r="M11" s="1"/>
      <c r="N11" s="1"/>
    </row>
    <row r="12" spans="2:14" ht="31.5" hidden="1" x14ac:dyDescent="0.25">
      <c r="B12" s="48">
        <f t="shared" si="3"/>
        <v>9</v>
      </c>
      <c r="C12" s="49" t="s">
        <v>58</v>
      </c>
      <c r="D12" s="50"/>
      <c r="E12" s="46">
        <v>2</v>
      </c>
      <c r="F12" s="47">
        <v>2</v>
      </c>
      <c r="G12" s="46">
        <v>3</v>
      </c>
      <c r="H12" s="46">
        <f t="shared" si="4"/>
        <v>7</v>
      </c>
      <c r="I12" s="48">
        <v>5</v>
      </c>
      <c r="J12" s="20" t="s">
        <v>60</v>
      </c>
      <c r="K12" s="1"/>
      <c r="L12" s="1"/>
      <c r="M12" s="1"/>
      <c r="N12" s="1"/>
    </row>
    <row r="13" spans="2:14" ht="63" hidden="1" x14ac:dyDescent="0.25">
      <c r="B13" s="9">
        <f t="shared" si="3"/>
        <v>10</v>
      </c>
      <c r="C13" s="30" t="s">
        <v>27</v>
      </c>
      <c r="D13" s="31" t="s">
        <v>26</v>
      </c>
      <c r="E13" s="32">
        <v>3</v>
      </c>
      <c r="F13" s="33">
        <v>1</v>
      </c>
      <c r="G13" s="32">
        <v>2</v>
      </c>
      <c r="H13" s="32">
        <f t="shared" si="4"/>
        <v>6</v>
      </c>
      <c r="I13" s="34">
        <v>5</v>
      </c>
      <c r="J13" s="20"/>
      <c r="K13" s="1"/>
      <c r="L13" s="1"/>
      <c r="M13" s="1"/>
      <c r="N13" s="1"/>
    </row>
    <row r="14" spans="2:14" ht="31.5" x14ac:dyDescent="0.25">
      <c r="B14" s="9">
        <f t="shared" si="3"/>
        <v>11</v>
      </c>
      <c r="C14" s="4" t="s">
        <v>25</v>
      </c>
      <c r="D14" s="12" t="s">
        <v>24</v>
      </c>
      <c r="E14" s="21">
        <v>3</v>
      </c>
      <c r="F14" s="24">
        <v>2</v>
      </c>
      <c r="G14" s="21">
        <v>2</v>
      </c>
      <c r="H14" s="21">
        <f t="shared" si="4"/>
        <v>7</v>
      </c>
      <c r="I14" s="9">
        <v>1</v>
      </c>
      <c r="J14" s="20"/>
      <c r="K14" s="1"/>
      <c r="L14" s="1"/>
      <c r="M14" s="1"/>
      <c r="N14" s="1"/>
    </row>
    <row r="15" spans="2:14" ht="78.75" x14ac:dyDescent="0.25">
      <c r="B15" s="9">
        <f t="shared" si="3"/>
        <v>12</v>
      </c>
      <c r="C15" s="4" t="s">
        <v>90</v>
      </c>
      <c r="D15" s="12" t="s">
        <v>91</v>
      </c>
      <c r="E15" s="21">
        <v>3</v>
      </c>
      <c r="F15" s="24">
        <v>2</v>
      </c>
      <c r="G15" s="21">
        <v>2</v>
      </c>
      <c r="H15" s="21">
        <f t="shared" si="4"/>
        <v>7</v>
      </c>
      <c r="I15" s="9">
        <v>0</v>
      </c>
      <c r="J15" s="20"/>
      <c r="K15" s="1"/>
      <c r="L15" s="1"/>
      <c r="M15" s="1"/>
      <c r="N15" s="1"/>
    </row>
    <row r="16" spans="2:14" ht="15.75" x14ac:dyDescent="0.25">
      <c r="B16" s="9">
        <f t="shared" si="3"/>
        <v>13</v>
      </c>
      <c r="C16" s="35" t="s">
        <v>52</v>
      </c>
      <c r="D16" s="35" t="s">
        <v>53</v>
      </c>
      <c r="E16" s="42">
        <v>3</v>
      </c>
      <c r="F16" s="43">
        <v>2</v>
      </c>
      <c r="G16" s="42">
        <v>2</v>
      </c>
      <c r="H16" s="21">
        <f t="shared" si="4"/>
        <v>7</v>
      </c>
      <c r="I16" s="9">
        <v>4</v>
      </c>
      <c r="J16" s="41" t="s">
        <v>65</v>
      </c>
      <c r="K16" s="1"/>
      <c r="L16" s="1"/>
      <c r="M16" s="1"/>
      <c r="N16" s="1"/>
    </row>
    <row r="17" spans="2:14" ht="15.75" x14ac:dyDescent="0.25">
      <c r="B17" s="9">
        <f t="shared" si="3"/>
        <v>14</v>
      </c>
      <c r="C17" s="35" t="s">
        <v>93</v>
      </c>
      <c r="D17" s="35" t="s">
        <v>96</v>
      </c>
      <c r="E17" s="42">
        <v>3</v>
      </c>
      <c r="F17" s="43">
        <v>2</v>
      </c>
      <c r="G17" s="42">
        <v>2</v>
      </c>
      <c r="H17" s="21">
        <f t="shared" si="4"/>
        <v>7</v>
      </c>
      <c r="I17" s="9">
        <v>0</v>
      </c>
      <c r="J17" s="41" t="s">
        <v>94</v>
      </c>
      <c r="K17" s="1"/>
      <c r="L17" s="1"/>
      <c r="M17" s="1"/>
      <c r="N17" s="1"/>
    </row>
    <row r="18" spans="2:14" ht="31.5" x14ac:dyDescent="0.25">
      <c r="B18" s="9">
        <f t="shared" si="3"/>
        <v>15</v>
      </c>
      <c r="C18" s="35" t="s">
        <v>92</v>
      </c>
      <c r="D18" s="35" t="s">
        <v>97</v>
      </c>
      <c r="E18" s="42">
        <v>3</v>
      </c>
      <c r="F18" s="43">
        <v>2</v>
      </c>
      <c r="G18" s="42">
        <v>2</v>
      </c>
      <c r="H18" s="21">
        <f t="shared" si="4"/>
        <v>7</v>
      </c>
      <c r="I18" s="9">
        <v>2</v>
      </c>
      <c r="J18" s="41" t="s">
        <v>95</v>
      </c>
      <c r="K18" s="1"/>
      <c r="L18" s="1"/>
      <c r="M18" s="1"/>
      <c r="N18" s="1"/>
    </row>
    <row r="19" spans="2:14" ht="15.75" x14ac:dyDescent="0.25">
      <c r="B19" s="9">
        <f t="shared" si="3"/>
        <v>16</v>
      </c>
      <c r="C19" s="4" t="s">
        <v>67</v>
      </c>
      <c r="D19" s="12" t="s">
        <v>68</v>
      </c>
      <c r="E19" s="21">
        <v>3</v>
      </c>
      <c r="F19" s="24">
        <v>2</v>
      </c>
      <c r="G19" s="21">
        <v>2</v>
      </c>
      <c r="H19" s="21">
        <f t="shared" si="4"/>
        <v>7</v>
      </c>
      <c r="I19" s="9">
        <v>0</v>
      </c>
      <c r="J19" s="20"/>
      <c r="K19" s="1"/>
      <c r="L19" s="1"/>
      <c r="M19" s="1"/>
      <c r="N19" s="1"/>
    </row>
    <row r="20" spans="2:14" ht="31.5" hidden="1" x14ac:dyDescent="0.25">
      <c r="B20" s="48">
        <f t="shared" si="3"/>
        <v>17</v>
      </c>
      <c r="C20" s="44" t="s">
        <v>9</v>
      </c>
      <c r="D20" s="50" t="s">
        <v>10</v>
      </c>
      <c r="E20" s="46">
        <v>3</v>
      </c>
      <c r="F20" s="47">
        <v>2</v>
      </c>
      <c r="G20" s="46">
        <v>2</v>
      </c>
      <c r="H20" s="46">
        <f t="shared" si="4"/>
        <v>7</v>
      </c>
      <c r="I20" s="48">
        <v>5</v>
      </c>
      <c r="K20" s="1"/>
      <c r="L20" s="1"/>
      <c r="M20" s="1"/>
      <c r="N20" s="1"/>
    </row>
    <row r="21" spans="2:14" ht="31.5" x14ac:dyDescent="0.25">
      <c r="B21" s="9">
        <f t="shared" si="3"/>
        <v>18</v>
      </c>
      <c r="C21" s="56" t="s">
        <v>81</v>
      </c>
      <c r="D21" s="51" t="s">
        <v>82</v>
      </c>
      <c r="E21" s="52">
        <v>2</v>
      </c>
      <c r="F21" s="53">
        <v>2</v>
      </c>
      <c r="G21" s="52">
        <v>3</v>
      </c>
      <c r="H21" s="52">
        <f t="shared" si="4"/>
        <v>7</v>
      </c>
      <c r="I21" s="58">
        <v>0</v>
      </c>
      <c r="J21" s="57"/>
      <c r="K21" s="1"/>
      <c r="L21" s="1"/>
      <c r="M21" s="1"/>
      <c r="N21" s="1"/>
    </row>
    <row r="22" spans="2:14" ht="31.5" x14ac:dyDescent="0.25">
      <c r="B22" s="9">
        <f t="shared" si="3"/>
        <v>19</v>
      </c>
      <c r="C22" s="35" t="s">
        <v>66</v>
      </c>
      <c r="D22" s="35" t="s">
        <v>69</v>
      </c>
      <c r="E22" s="42">
        <v>2</v>
      </c>
      <c r="F22" s="43">
        <v>2</v>
      </c>
      <c r="G22" s="42">
        <v>3</v>
      </c>
      <c r="H22" s="21">
        <f t="shared" si="4"/>
        <v>7</v>
      </c>
      <c r="I22" s="9">
        <v>3</v>
      </c>
      <c r="J22" s="20" t="s">
        <v>70</v>
      </c>
      <c r="K22" s="1"/>
      <c r="L22" s="1"/>
      <c r="M22" s="1"/>
      <c r="N22" s="1"/>
    </row>
    <row r="23" spans="2:14" ht="31.5" x14ac:dyDescent="0.25">
      <c r="B23" s="9">
        <f t="shared" si="3"/>
        <v>20</v>
      </c>
      <c r="C23" s="56" t="s">
        <v>85</v>
      </c>
      <c r="D23" s="51" t="s">
        <v>86</v>
      </c>
      <c r="E23" s="52">
        <v>2</v>
      </c>
      <c r="F23" s="53">
        <v>2</v>
      </c>
      <c r="G23" s="52">
        <v>2</v>
      </c>
      <c r="H23" s="52">
        <f t="shared" si="4"/>
        <v>6</v>
      </c>
      <c r="I23" s="58">
        <v>0</v>
      </c>
      <c r="J23" s="57"/>
      <c r="K23" s="1"/>
      <c r="L23" s="1"/>
      <c r="M23" s="1"/>
      <c r="N23" s="1"/>
    </row>
    <row r="24" spans="2:14" ht="31.5" hidden="1" x14ac:dyDescent="0.25">
      <c r="B24" s="48">
        <f t="shared" si="3"/>
        <v>21</v>
      </c>
      <c r="C24" s="49" t="s">
        <v>83</v>
      </c>
      <c r="D24" s="49" t="s">
        <v>84</v>
      </c>
      <c r="E24" s="59">
        <v>3</v>
      </c>
      <c r="F24" s="60">
        <v>2</v>
      </c>
      <c r="G24" s="59">
        <v>3</v>
      </c>
      <c r="H24" s="46">
        <f t="shared" si="4"/>
        <v>8</v>
      </c>
      <c r="I24" s="48">
        <v>5</v>
      </c>
      <c r="J24" s="61"/>
      <c r="K24" s="1"/>
      <c r="L24" s="1"/>
      <c r="M24" s="1"/>
      <c r="N24" s="1"/>
    </row>
    <row r="25" spans="2:14" ht="31.5" x14ac:dyDescent="0.25">
      <c r="B25" s="9">
        <f t="shared" si="3"/>
        <v>22</v>
      </c>
      <c r="C25" s="5" t="s">
        <v>11</v>
      </c>
      <c r="D25" s="5" t="s">
        <v>12</v>
      </c>
      <c r="E25" s="21">
        <v>2</v>
      </c>
      <c r="F25" s="24">
        <v>2</v>
      </c>
      <c r="G25" s="21">
        <v>2</v>
      </c>
      <c r="H25" s="21">
        <f t="shared" si="4"/>
        <v>6</v>
      </c>
      <c r="I25" s="9">
        <v>2</v>
      </c>
      <c r="J25" s="20" t="s">
        <v>63</v>
      </c>
      <c r="K25" s="1"/>
      <c r="L25" s="1"/>
      <c r="M25" s="1"/>
      <c r="N25" s="1"/>
    </row>
    <row r="26" spans="2:14" ht="31.5" x14ac:dyDescent="0.25">
      <c r="B26" s="9">
        <f t="shared" si="3"/>
        <v>23</v>
      </c>
      <c r="C26" s="5" t="s">
        <v>20</v>
      </c>
      <c r="D26" s="23" t="s">
        <v>21</v>
      </c>
      <c r="E26" s="21">
        <v>2</v>
      </c>
      <c r="F26" s="24">
        <v>2</v>
      </c>
      <c r="G26" s="21">
        <v>2</v>
      </c>
      <c r="H26" s="21">
        <f t="shared" si="4"/>
        <v>6</v>
      </c>
      <c r="I26" s="9">
        <v>0</v>
      </c>
      <c r="J26" s="20"/>
      <c r="K26" s="1"/>
      <c r="L26" s="1"/>
      <c r="M26" s="1"/>
      <c r="N26" s="1"/>
    </row>
    <row r="27" spans="2:14" ht="47.25" x14ac:dyDescent="0.25">
      <c r="B27" s="9">
        <f t="shared" si="3"/>
        <v>24</v>
      </c>
      <c r="C27" s="5" t="s">
        <v>36</v>
      </c>
      <c r="D27" s="5" t="s">
        <v>48</v>
      </c>
      <c r="E27" s="21">
        <v>2</v>
      </c>
      <c r="F27" s="24">
        <v>2</v>
      </c>
      <c r="G27" s="21">
        <v>2</v>
      </c>
      <c r="H27" s="21">
        <f t="shared" si="4"/>
        <v>6</v>
      </c>
      <c r="I27" s="9">
        <v>0</v>
      </c>
      <c r="J27" s="20"/>
      <c r="K27" s="1"/>
      <c r="L27" s="1"/>
      <c r="M27" s="1"/>
      <c r="N27" s="1"/>
    </row>
    <row r="28" spans="2:14" ht="47.25" x14ac:dyDescent="0.25">
      <c r="B28" s="9">
        <f t="shared" si="3"/>
        <v>25</v>
      </c>
      <c r="C28" s="23" t="s">
        <v>22</v>
      </c>
      <c r="D28" s="23" t="s">
        <v>23</v>
      </c>
      <c r="E28" s="21">
        <v>2</v>
      </c>
      <c r="F28" s="24">
        <v>2</v>
      </c>
      <c r="G28" s="21">
        <v>1</v>
      </c>
      <c r="H28" s="21">
        <f t="shared" si="4"/>
        <v>5</v>
      </c>
      <c r="I28" s="9">
        <v>0</v>
      </c>
      <c r="J28" s="20"/>
      <c r="K28" s="1"/>
      <c r="L28" s="1"/>
      <c r="M28" s="1"/>
      <c r="N28" s="1"/>
    </row>
    <row r="29" spans="2:14" ht="15.75" hidden="1" x14ac:dyDescent="0.25">
      <c r="B29" s="48">
        <f t="shared" si="3"/>
        <v>26</v>
      </c>
      <c r="C29" s="44" t="s">
        <v>39</v>
      </c>
      <c r="D29" s="50" t="s">
        <v>71</v>
      </c>
      <c r="E29" s="46">
        <v>1</v>
      </c>
      <c r="F29" s="47">
        <v>2</v>
      </c>
      <c r="G29" s="46">
        <v>3</v>
      </c>
      <c r="H29" s="46">
        <f t="shared" si="4"/>
        <v>6</v>
      </c>
      <c r="I29" s="48">
        <v>5</v>
      </c>
      <c r="J29" s="20"/>
      <c r="K29" s="1"/>
      <c r="L29" s="1"/>
      <c r="M29" s="1"/>
      <c r="N29" s="1"/>
    </row>
    <row r="30" spans="2:14" ht="31.5" x14ac:dyDescent="0.25">
      <c r="B30" s="9">
        <f t="shared" si="3"/>
        <v>27</v>
      </c>
      <c r="C30" s="5" t="s">
        <v>56</v>
      </c>
      <c r="D30" s="23" t="s">
        <v>57</v>
      </c>
      <c r="E30" s="21">
        <v>1</v>
      </c>
      <c r="F30" s="24">
        <v>2</v>
      </c>
      <c r="G30" s="21">
        <v>2</v>
      </c>
      <c r="H30" s="21">
        <f t="shared" si="4"/>
        <v>5</v>
      </c>
      <c r="I30" s="9">
        <v>0</v>
      </c>
      <c r="J30" s="20"/>
      <c r="K30" s="1"/>
      <c r="L30" s="1"/>
      <c r="M30" s="1"/>
      <c r="N30" s="1"/>
    </row>
    <row r="31" spans="2:14" ht="78.75" x14ac:dyDescent="0.25">
      <c r="B31" s="9">
        <f t="shared" si="3"/>
        <v>28</v>
      </c>
      <c r="C31" s="4" t="s">
        <v>30</v>
      </c>
      <c r="D31" s="12" t="s">
        <v>35</v>
      </c>
      <c r="E31" s="21">
        <v>1</v>
      </c>
      <c r="F31" s="24">
        <v>2</v>
      </c>
      <c r="G31" s="21">
        <v>2</v>
      </c>
      <c r="H31" s="21">
        <f t="shared" si="4"/>
        <v>5</v>
      </c>
      <c r="I31" s="9">
        <v>0</v>
      </c>
      <c r="K31" s="1"/>
      <c r="L31" s="1"/>
      <c r="M31" s="1"/>
      <c r="N31" s="1"/>
    </row>
    <row r="32" spans="2:14" ht="83.25" customHeight="1" x14ac:dyDescent="0.25">
      <c r="B32" s="9">
        <f>B30+1</f>
        <v>28</v>
      </c>
      <c r="C32" s="35" t="s">
        <v>64</v>
      </c>
      <c r="D32" s="51"/>
      <c r="E32" s="52">
        <v>1</v>
      </c>
      <c r="F32" s="53">
        <v>1</v>
      </c>
      <c r="G32" s="52">
        <v>3</v>
      </c>
      <c r="H32" s="52">
        <f t="shared" si="4"/>
        <v>5</v>
      </c>
      <c r="I32" s="9">
        <v>0</v>
      </c>
      <c r="J32" s="20"/>
      <c r="K32" s="1"/>
      <c r="L32" s="1"/>
      <c r="M32" s="1"/>
      <c r="N32" s="1"/>
    </row>
    <row r="33" spans="2:14" ht="83.25" hidden="1" customHeight="1" x14ac:dyDescent="0.25">
      <c r="B33" s="29">
        <f t="shared" ref="B33:B46" si="5">B32+1</f>
        <v>29</v>
      </c>
      <c r="C33" s="30" t="s">
        <v>31</v>
      </c>
      <c r="D33" s="31" t="s">
        <v>32</v>
      </c>
      <c r="E33" s="32">
        <v>2</v>
      </c>
      <c r="F33" s="33">
        <v>1</v>
      </c>
      <c r="G33" s="32">
        <v>3</v>
      </c>
      <c r="H33" s="32">
        <f t="shared" si="4"/>
        <v>6</v>
      </c>
      <c r="I33" s="34">
        <v>5</v>
      </c>
      <c r="J33" s="20"/>
      <c r="K33" s="1"/>
      <c r="L33" s="1"/>
      <c r="M33" s="1"/>
      <c r="N33" s="1"/>
    </row>
    <row r="34" spans="2:14" ht="83.25" customHeight="1" x14ac:dyDescent="0.25">
      <c r="B34" s="9">
        <f t="shared" si="5"/>
        <v>30</v>
      </c>
      <c r="C34" s="5" t="s">
        <v>42</v>
      </c>
      <c r="D34" s="12" t="s">
        <v>43</v>
      </c>
      <c r="E34" s="21">
        <v>2</v>
      </c>
      <c r="F34" s="24">
        <v>1</v>
      </c>
      <c r="G34" s="21">
        <v>1</v>
      </c>
      <c r="H34" s="21">
        <f t="shared" si="4"/>
        <v>4</v>
      </c>
      <c r="I34" s="9">
        <v>0</v>
      </c>
      <c r="J34" s="20"/>
      <c r="K34" s="1"/>
      <c r="L34" s="1"/>
      <c r="M34" s="1"/>
      <c r="N34" s="1"/>
    </row>
    <row r="35" spans="2:14" ht="83.25" hidden="1" customHeight="1" x14ac:dyDescent="0.25">
      <c r="B35" s="34">
        <f t="shared" si="5"/>
        <v>31</v>
      </c>
      <c r="C35" s="54" t="s">
        <v>62</v>
      </c>
      <c r="D35" s="55" t="s">
        <v>61</v>
      </c>
      <c r="E35" s="32">
        <v>2</v>
      </c>
      <c r="F35" s="33">
        <v>2</v>
      </c>
      <c r="G35" s="32">
        <v>2</v>
      </c>
      <c r="H35" s="32">
        <f t="shared" si="4"/>
        <v>6</v>
      </c>
      <c r="I35" s="34">
        <v>5</v>
      </c>
      <c r="J35" s="20"/>
      <c r="K35" s="1"/>
      <c r="L35" s="1"/>
      <c r="M35" s="1"/>
      <c r="N35" s="1"/>
    </row>
    <row r="36" spans="2:14" ht="31.5" hidden="1" x14ac:dyDescent="0.25">
      <c r="B36" s="48">
        <f t="shared" si="5"/>
        <v>32</v>
      </c>
      <c r="C36" s="49" t="s">
        <v>59</v>
      </c>
      <c r="D36" s="50"/>
      <c r="E36" s="46">
        <v>1</v>
      </c>
      <c r="F36" s="47">
        <v>1</v>
      </c>
      <c r="G36" s="46">
        <v>3</v>
      </c>
      <c r="H36" s="46">
        <f t="shared" si="4"/>
        <v>5</v>
      </c>
      <c r="I36" s="48">
        <v>5</v>
      </c>
      <c r="J36" s="20"/>
      <c r="K36" s="1"/>
      <c r="L36" s="1"/>
      <c r="M36" s="1"/>
      <c r="N36" s="1"/>
    </row>
    <row r="37" spans="2:14" ht="31.5" x14ac:dyDescent="0.25">
      <c r="B37" s="9">
        <f t="shared" si="5"/>
        <v>33</v>
      </c>
      <c r="C37" s="26" t="s">
        <v>79</v>
      </c>
      <c r="D37" s="23" t="s">
        <v>80</v>
      </c>
      <c r="E37" s="21">
        <v>1</v>
      </c>
      <c r="F37" s="24">
        <v>2</v>
      </c>
      <c r="G37" s="21">
        <v>1</v>
      </c>
      <c r="H37" s="21">
        <f t="shared" si="4"/>
        <v>4</v>
      </c>
      <c r="I37" s="9">
        <v>0</v>
      </c>
      <c r="J37" s="20"/>
      <c r="K37" s="1"/>
      <c r="L37" s="1"/>
      <c r="M37" s="1"/>
      <c r="N37" s="1"/>
    </row>
    <row r="38" spans="2:14" ht="47.25" hidden="1" x14ac:dyDescent="0.25">
      <c r="B38" s="48">
        <f t="shared" si="5"/>
        <v>34</v>
      </c>
      <c r="C38" s="49" t="s">
        <v>5</v>
      </c>
      <c r="D38" s="50" t="s">
        <v>6</v>
      </c>
      <c r="E38" s="46">
        <v>1</v>
      </c>
      <c r="F38" s="47">
        <v>1</v>
      </c>
      <c r="G38" s="46">
        <v>2</v>
      </c>
      <c r="H38" s="46">
        <f t="shared" si="4"/>
        <v>4</v>
      </c>
      <c r="I38" s="48">
        <v>5</v>
      </c>
      <c r="K38" s="1"/>
      <c r="L38" s="1"/>
      <c r="M38" s="1"/>
      <c r="N38" s="1"/>
    </row>
    <row r="39" spans="2:14" ht="31.5" hidden="1" x14ac:dyDescent="0.25">
      <c r="B39" s="48">
        <f t="shared" si="5"/>
        <v>35</v>
      </c>
      <c r="C39" s="44" t="s">
        <v>44</v>
      </c>
      <c r="D39" s="50" t="s">
        <v>45</v>
      </c>
      <c r="E39" s="46">
        <v>2</v>
      </c>
      <c r="F39" s="47">
        <v>1</v>
      </c>
      <c r="G39" s="46">
        <v>1</v>
      </c>
      <c r="H39" s="46">
        <f t="shared" si="4"/>
        <v>4</v>
      </c>
      <c r="I39" s="48">
        <v>5</v>
      </c>
      <c r="J39" s="20"/>
      <c r="K39" s="1"/>
      <c r="L39" s="1"/>
      <c r="M39" s="1"/>
      <c r="N39" s="1"/>
    </row>
    <row r="40" spans="2:14" ht="78.75" hidden="1" x14ac:dyDescent="0.25">
      <c r="B40" s="48">
        <f t="shared" si="5"/>
        <v>36</v>
      </c>
      <c r="C40" s="49" t="s">
        <v>33</v>
      </c>
      <c r="D40" s="50" t="s">
        <v>34</v>
      </c>
      <c r="E40" s="46">
        <v>1</v>
      </c>
      <c r="F40" s="47">
        <v>1</v>
      </c>
      <c r="G40" s="46">
        <v>2</v>
      </c>
      <c r="H40" s="46">
        <f t="shared" si="4"/>
        <v>4</v>
      </c>
      <c r="I40" s="48">
        <v>5</v>
      </c>
      <c r="J40" s="20" t="s">
        <v>51</v>
      </c>
      <c r="K40" s="1"/>
      <c r="L40" s="1"/>
      <c r="M40" s="1"/>
      <c r="N40" s="1"/>
    </row>
    <row r="41" spans="2:14" ht="15.75" x14ac:dyDescent="0.25">
      <c r="B41" s="9">
        <f t="shared" si="5"/>
        <v>37</v>
      </c>
      <c r="C41" s="5" t="s">
        <v>7</v>
      </c>
      <c r="D41" s="12" t="s">
        <v>8</v>
      </c>
      <c r="E41" s="21">
        <v>1</v>
      </c>
      <c r="F41" s="24">
        <v>1</v>
      </c>
      <c r="G41" s="21">
        <v>2</v>
      </c>
      <c r="H41" s="21">
        <f t="shared" si="4"/>
        <v>4</v>
      </c>
      <c r="I41" s="9">
        <v>0</v>
      </c>
      <c r="J41" s="20"/>
      <c r="K41" s="1"/>
      <c r="L41" s="1"/>
      <c r="M41" s="1"/>
      <c r="N41" s="1"/>
    </row>
    <row r="42" spans="2:14" ht="31.5" x14ac:dyDescent="0.25">
      <c r="B42" s="9">
        <f t="shared" si="5"/>
        <v>38</v>
      </c>
      <c r="C42" s="5" t="s">
        <v>37</v>
      </c>
      <c r="D42" s="12" t="s">
        <v>38</v>
      </c>
      <c r="E42" s="21">
        <v>1</v>
      </c>
      <c r="F42" s="24">
        <v>1</v>
      </c>
      <c r="G42" s="21">
        <v>2</v>
      </c>
      <c r="H42" s="21">
        <f t="shared" si="4"/>
        <v>4</v>
      </c>
      <c r="I42" s="9">
        <v>0</v>
      </c>
      <c r="J42" s="20"/>
      <c r="K42" s="1"/>
      <c r="L42" s="1"/>
      <c r="M42" s="1"/>
      <c r="N42" s="1"/>
    </row>
    <row r="43" spans="2:14" ht="31.5" x14ac:dyDescent="0.25">
      <c r="B43" s="9">
        <f t="shared" si="5"/>
        <v>39</v>
      </c>
      <c r="C43" s="5" t="s">
        <v>40</v>
      </c>
      <c r="D43" s="12" t="s">
        <v>41</v>
      </c>
      <c r="E43" s="21">
        <v>1</v>
      </c>
      <c r="F43" s="24">
        <v>1</v>
      </c>
      <c r="G43" s="21">
        <v>2</v>
      </c>
      <c r="H43" s="21">
        <f t="shared" si="4"/>
        <v>4</v>
      </c>
      <c r="I43" s="9">
        <v>0</v>
      </c>
      <c r="J43" s="20"/>
      <c r="K43" s="1"/>
      <c r="L43" s="1"/>
      <c r="M43" s="1"/>
      <c r="N43" s="1"/>
    </row>
    <row r="44" spans="2:14" ht="31.5" x14ac:dyDescent="0.25">
      <c r="B44" s="9">
        <f t="shared" si="5"/>
        <v>40</v>
      </c>
      <c r="C44" s="4" t="s">
        <v>3</v>
      </c>
      <c r="D44" s="12" t="s">
        <v>4</v>
      </c>
      <c r="E44" s="21">
        <v>1</v>
      </c>
      <c r="F44" s="24">
        <v>1</v>
      </c>
      <c r="G44" s="21">
        <v>1</v>
      </c>
      <c r="H44" s="21">
        <f t="shared" si="4"/>
        <v>3</v>
      </c>
      <c r="I44" s="9">
        <v>0</v>
      </c>
      <c r="J44" s="20"/>
      <c r="K44" s="1"/>
      <c r="L44" s="1"/>
      <c r="M44" s="1"/>
      <c r="N44" s="1"/>
    </row>
    <row r="45" spans="2:14" ht="15.75" x14ac:dyDescent="0.25">
      <c r="B45" s="9">
        <f t="shared" si="5"/>
        <v>41</v>
      </c>
      <c r="C45" s="5" t="s">
        <v>13</v>
      </c>
      <c r="D45" s="12"/>
      <c r="E45" s="21">
        <v>1</v>
      </c>
      <c r="F45" s="24">
        <v>1</v>
      </c>
      <c r="G45" s="21">
        <v>1</v>
      </c>
      <c r="H45" s="21">
        <f t="shared" si="4"/>
        <v>3</v>
      </c>
      <c r="I45" s="9">
        <v>0</v>
      </c>
      <c r="J45" s="20"/>
      <c r="K45" s="1"/>
      <c r="L45" s="1"/>
      <c r="M45" s="1"/>
      <c r="N45" s="1"/>
    </row>
    <row r="46" spans="2:14" ht="16.5" thickBot="1" x14ac:dyDescent="0.3">
      <c r="B46" s="9">
        <f t="shared" si="5"/>
        <v>42</v>
      </c>
      <c r="C46" s="6" t="s">
        <v>14</v>
      </c>
      <c r="D46" s="13"/>
      <c r="E46" s="22">
        <v>1</v>
      </c>
      <c r="F46" s="25">
        <v>1</v>
      </c>
      <c r="G46" s="22">
        <v>1</v>
      </c>
      <c r="H46" s="22">
        <f t="shared" si="4"/>
        <v>3</v>
      </c>
      <c r="I46" s="28">
        <v>0</v>
      </c>
      <c r="J46" s="20"/>
      <c r="K46" s="1"/>
      <c r="L46" s="1"/>
      <c r="M46" s="1"/>
      <c r="N46" s="1"/>
    </row>
    <row r="47" spans="2:14" ht="15.75" x14ac:dyDescent="0.25">
      <c r="I47" s="10"/>
      <c r="J47" s="20"/>
      <c r="K47" s="1"/>
      <c r="L47" s="1"/>
      <c r="M47" s="1"/>
      <c r="N47" s="1"/>
    </row>
    <row r="48" spans="2:14" ht="15.75" x14ac:dyDescent="0.25">
      <c r="B48" s="10"/>
      <c r="C48" s="26"/>
      <c r="D48" s="27"/>
      <c r="E48" s="20"/>
      <c r="F48" s="20"/>
      <c r="G48" s="20"/>
      <c r="H48" s="20"/>
      <c r="I48" s="10"/>
      <c r="J48" s="20"/>
      <c r="K48" s="1"/>
      <c r="L48" s="1"/>
      <c r="M48" s="1"/>
      <c r="N48" s="1"/>
    </row>
    <row r="49" spans="2:14" ht="15.75" x14ac:dyDescent="0.25">
      <c r="B49" s="1"/>
      <c r="C49" s="7"/>
      <c r="D49" s="2"/>
      <c r="E49" s="10"/>
      <c r="F49" s="10"/>
      <c r="G49" s="10"/>
      <c r="H49" s="10"/>
      <c r="I49" s="10"/>
      <c r="J49" s="20"/>
      <c r="K49" s="1"/>
      <c r="L49" s="1"/>
      <c r="M49" s="1"/>
      <c r="N49" s="1"/>
    </row>
    <row r="50" spans="2:14" ht="15.75" x14ac:dyDescent="0.25">
      <c r="B50" s="1"/>
      <c r="C50" s="7"/>
      <c r="D50" s="2"/>
      <c r="E50" s="10"/>
      <c r="F50" s="10"/>
      <c r="G50" s="10"/>
      <c r="H50" s="10"/>
      <c r="I50" s="10"/>
      <c r="J50" s="20"/>
      <c r="K50" s="1"/>
      <c r="L50" s="1"/>
      <c r="M50" s="1"/>
      <c r="N50" s="1"/>
    </row>
    <row r="51" spans="2:14" ht="15.75" x14ac:dyDescent="0.25">
      <c r="B51" s="1"/>
      <c r="C51" s="7"/>
      <c r="D51" s="2"/>
      <c r="E51" s="10"/>
      <c r="F51" s="10"/>
      <c r="G51" s="10"/>
      <c r="H51" s="10"/>
      <c r="I51" s="10"/>
      <c r="J51" s="20"/>
      <c r="K51" s="1"/>
      <c r="L51" s="1"/>
      <c r="M51" s="1"/>
      <c r="N51" s="1"/>
    </row>
    <row r="52" spans="2:14" ht="15.75" x14ac:dyDescent="0.25">
      <c r="B52" s="1"/>
      <c r="C52" s="7"/>
      <c r="D52" s="2"/>
      <c r="E52" s="10"/>
      <c r="F52" s="10"/>
      <c r="G52" s="10"/>
      <c r="H52" s="10"/>
      <c r="I52" s="10"/>
      <c r="J52" s="20"/>
      <c r="K52" s="1"/>
      <c r="L52" s="1"/>
      <c r="M52" s="1"/>
      <c r="N52" s="1"/>
    </row>
    <row r="53" spans="2:14" ht="15.75" x14ac:dyDescent="0.25">
      <c r="B53" s="1"/>
      <c r="C53" s="7"/>
      <c r="D53" s="2"/>
      <c r="E53" s="10"/>
      <c r="F53" s="10"/>
      <c r="G53" s="10"/>
      <c r="H53" s="10"/>
      <c r="I53" s="10"/>
      <c r="J53" s="20"/>
      <c r="K53" s="1"/>
      <c r="L53" s="1"/>
      <c r="M53" s="1"/>
      <c r="N53" s="1"/>
    </row>
    <row r="54" spans="2:14" ht="15.75" x14ac:dyDescent="0.25">
      <c r="B54" s="1"/>
      <c r="C54" s="7"/>
      <c r="D54" s="2"/>
      <c r="E54" s="10"/>
      <c r="F54" s="10"/>
      <c r="G54" s="10"/>
      <c r="H54" s="10"/>
      <c r="I54" s="10"/>
      <c r="J54" s="20"/>
      <c r="K54" s="1"/>
      <c r="L54" s="1"/>
      <c r="M54" s="1"/>
      <c r="N54" s="1"/>
    </row>
    <row r="55" spans="2:14" ht="15.75" x14ac:dyDescent="0.25">
      <c r="B55" s="1"/>
      <c r="C55" s="7"/>
      <c r="D55" s="2"/>
      <c r="E55" s="10"/>
      <c r="F55" s="10"/>
      <c r="G55" s="10"/>
      <c r="H55" s="10"/>
      <c r="I55" s="10"/>
      <c r="J55" s="20"/>
      <c r="K55" s="1"/>
      <c r="L55" s="1"/>
      <c r="M55" s="1"/>
      <c r="N55" s="1"/>
    </row>
    <row r="56" spans="2:14" ht="15.75" x14ac:dyDescent="0.25">
      <c r="B56" s="1"/>
      <c r="C56" s="7"/>
      <c r="D56" s="2"/>
      <c r="E56" s="10"/>
      <c r="F56" s="10"/>
      <c r="G56" s="10"/>
      <c r="H56" s="10"/>
      <c r="I56" s="10"/>
      <c r="J56" s="20"/>
      <c r="K56" s="1"/>
      <c r="L56" s="1"/>
      <c r="M56" s="1"/>
      <c r="N56" s="1"/>
    </row>
    <row r="57" spans="2:14" ht="15.75" x14ac:dyDescent="0.25">
      <c r="B57" s="1"/>
      <c r="C57" s="7"/>
      <c r="D57" s="2"/>
      <c r="E57" s="10"/>
      <c r="F57" s="10"/>
      <c r="G57" s="10"/>
      <c r="H57" s="10"/>
      <c r="I57" s="10"/>
      <c r="J57" s="20"/>
      <c r="K57" s="1"/>
      <c r="L57" s="1"/>
      <c r="M57" s="1"/>
      <c r="N57" s="1"/>
    </row>
    <row r="58" spans="2:14" ht="15.75" x14ac:dyDescent="0.25">
      <c r="B58" s="1"/>
      <c r="C58" s="7"/>
      <c r="D58" s="2"/>
      <c r="E58" s="10"/>
      <c r="F58" s="10"/>
      <c r="G58" s="10"/>
      <c r="H58" s="10"/>
      <c r="I58" s="10"/>
      <c r="J58" s="20"/>
      <c r="K58" s="1"/>
      <c r="L58" s="1"/>
      <c r="M58" s="1"/>
      <c r="N58" s="1"/>
    </row>
  </sheetData>
  <autoFilter ref="B3:I46" xr:uid="{11BA4F79-2AB7-4A24-A4BE-758442E1F8CB}">
    <filterColumn colId="7">
      <filters>
        <filter val="0"/>
        <filter val="1"/>
        <filter val="2"/>
        <filter val="3"/>
        <filter val="4"/>
      </filters>
    </filterColumn>
    <sortState xmlns:xlrd2="http://schemas.microsoft.com/office/spreadsheetml/2017/richdata2" ref="B5:I46">
      <sortCondition descending="1" ref="H4:H46"/>
    </sortState>
  </autoFilter>
  <sortState xmlns:xlrd2="http://schemas.microsoft.com/office/spreadsheetml/2017/richdata2" ref="B8:J46">
    <sortCondition descending="1" ref="H4:H46"/>
    <sortCondition descending="1" ref="E4:E46"/>
    <sortCondition descending="1" ref="F4:F46"/>
  </sortState>
  <conditionalFormatting sqref="H4:H46">
    <cfRule type="colorScale" priority="3">
      <colorScale>
        <cfvo type="min"/>
        <cfvo type="percentile" val="50"/>
        <cfvo type="max"/>
        <color rgb="FFF8696B"/>
        <color rgb="FFFFEB84"/>
        <color rgb="FF63BE7B"/>
      </colorScale>
    </cfRule>
  </conditionalFormatting>
  <conditionalFormatting sqref="I4:I46">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SRC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Lauko, Joe</dc:creator>
  <cp:lastModifiedBy>Lauko, Joe</cp:lastModifiedBy>
  <dcterms:created xsi:type="dcterms:W3CDTF">2026-02-21T17:55:22Z</dcterms:created>
  <dcterms:modified xsi:type="dcterms:W3CDTF">2026-07-16T19:11:38Z</dcterms:modified>
</cp:coreProperties>
</file>